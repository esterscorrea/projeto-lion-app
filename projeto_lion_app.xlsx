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647496B-F5E0-4967-BDA8-FDD796E8CA98}" xr6:coauthVersionLast="47" xr6:coauthVersionMax="47" xr10:uidLastSave="{00000000-0000-0000-0000-000000000000}"/>
  <bookViews>
    <workbookView xWindow="-120" yWindow="-120" windowWidth="20730" windowHeight="11160" tabRatio="0" firstSheet="3" activeTab="3" xr2:uid="{5E59A2A1-AD79-4B75-A12A-50D84949C6E1}"/>
  </bookViews>
  <sheets>
    <sheet name="TÍTULAR" sheetId="1" r:id="rId1"/>
    <sheet name="INFORMES" sheetId="2" r:id="rId2"/>
    <sheet name="NOTAS" sheetId="3" r:id="rId3"/>
    <sheet name="RESUM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9" i="4" l="1"/>
  <c r="D27" i="4"/>
  <c r="D26" i="4"/>
  <c r="E21" i="4"/>
  <c r="D21" i="4"/>
  <c r="E20" i="4"/>
  <c r="D20" i="4"/>
  <c r="E19" i="4"/>
  <c r="E22" i="4" s="1"/>
  <c r="D19" i="4"/>
  <c r="D22" i="4" s="1"/>
  <c r="D14" i="4"/>
  <c r="C14" i="4"/>
  <c r="D13" i="4"/>
  <c r="C13" i="4"/>
  <c r="D12" i="4"/>
  <c r="D15" i="4" s="1"/>
  <c r="C12" i="4"/>
  <c r="D8" i="4"/>
  <c r="D7" i="4"/>
  <c r="C7" i="2"/>
  <c r="D25" i="4" l="1"/>
  <c r="E14" i="4"/>
  <c r="E13" i="4"/>
  <c r="E12" i="4"/>
  <c r="E15" i="4" s="1"/>
  <c r="F21" i="4"/>
  <c r="F20" i="4"/>
  <c r="F19" i="4"/>
  <c r="F22" i="4" s="1"/>
  <c r="D28" i="4"/>
</calcChain>
</file>

<file path=xl/sharedStrings.xml><?xml version="1.0" encoding="utf-8"?>
<sst xmlns="http://schemas.openxmlformats.org/spreadsheetml/2006/main" count="78" uniqueCount="59">
  <si>
    <t>NOME</t>
  </si>
  <si>
    <t>CPF</t>
  </si>
  <si>
    <t>NASCIMENTO</t>
  </si>
  <si>
    <t>TITULO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</si>
  <si>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</si>
  <si>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</si>
  <si>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</si>
  <si>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</si>
  <si>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</si>
  <si>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</si>
  <si>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</si>
  <si>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</si>
  <si>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</si>
  <si>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</si>
  <si>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</si>
  <si>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fisica abaixo</t>
  </si>
  <si>
    <t>SIM</t>
  </si>
  <si>
    <t>NÃO</t>
  </si>
  <si>
    <t>marylima@dio.com</t>
  </si>
  <si>
    <t>rua dos limoeiros. R, -N180</t>
  </si>
  <si>
    <t>MARY LIMA NOGUEIRA</t>
  </si>
  <si>
    <t>Lucas Nogueira</t>
  </si>
  <si>
    <t>2. INFORMES DE RENDIMENTOS BANCÁRIOS</t>
  </si>
  <si>
    <t>Preencha com seus dados atuais de cada banco</t>
  </si>
  <si>
    <t>BANCO</t>
  </si>
  <si>
    <t>VALOR ATUAL</t>
  </si>
  <si>
    <t xml:space="preserve">ANEXO </t>
  </si>
  <si>
    <t>102 - XP Investimentos CCTVM S.A.</t>
  </si>
  <si>
    <t>237 - Banco Bradesco</t>
  </si>
  <si>
    <t>341 - Itaú Unibanco</t>
  </si>
  <si>
    <t>bradesco_2025.pdf</t>
  </si>
  <si>
    <t>1 Banco</t>
  </si>
  <si>
    <t>2 Banco</t>
  </si>
  <si>
    <t>3 Banco</t>
  </si>
  <si>
    <t>TOTAL</t>
  </si>
  <si>
    <t>São todos valores de entrada mês a mês de receita</t>
  </si>
  <si>
    <t>3. NOTAS BANCÁRIAS OU EXTRATO DE HOLHERITE</t>
  </si>
  <si>
    <t>DATA</t>
  </si>
  <si>
    <t>CATEGORIA</t>
  </si>
  <si>
    <t>VALOR</t>
  </si>
  <si>
    <t>ENTRADAS</t>
  </si>
  <si>
    <t>Holherite</t>
  </si>
  <si>
    <t>4. RESUMO FINANCEIRO</t>
  </si>
  <si>
    <t>Visão geral calculada automaticamente com os dados das abas anteriores</t>
  </si>
  <si>
    <t>TITULAR</t>
  </si>
  <si>
    <t>PATRIMÔNIO POR BANCO</t>
  </si>
  <si>
    <t>% DO TOTAL</t>
  </si>
  <si>
    <t>ENTRADAS POR CATEGORIA (ABA NOTAS)</t>
  </si>
  <si>
    <t>LANÇAMENTOS</t>
  </si>
  <si>
    <t>VALOR TOTAL</t>
  </si>
  <si>
    <t>CNPJ</t>
  </si>
  <si>
    <t>Freelance</t>
  </si>
  <si>
    <t>INDICADORES</t>
  </si>
  <si>
    <t>Patrimônio total em bancos</t>
  </si>
  <si>
    <t>Total de entradas registradas</t>
  </si>
  <si>
    <t>Nº de lançamentos</t>
  </si>
  <si>
    <t>Média por lançamento</t>
  </si>
  <si>
    <t>Maior entrada</t>
  </si>
  <si>
    <t>Valores calculados com fórmulas a partir das abas INFORMES e NOTAS: ao alterar esses dados, este resumo e os gráficos se atualizam.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</si>
</sst>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0.0%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8" tint="-0.24997711111789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rgb="FF9C5700"/>
      <name val="Segoe UI Light"/>
      <family val="2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EE37BF"/>
        <bgColor indexed="64"/>
      </patternFill>
    </fill>
    <fill>
      <patternFill patternType="solid">
        <fgColor rgb="FFFBDD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rgb="FFEE37BF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</cellStyleXfs>
  <cellXfs count="46">
    <xf numFmtId="0" fontId="0" fillId="0" borderId="0" xfId="0"/>
    <xf numFmtId="0" fontId="0" fillId="2" borderId="0" xfId="0" applyFill="1"/>
    <xf numFmtId="0" fontId="3" fillId="0" borderId="2" xfId="0" applyFont="1" applyBorder="1"/>
    <xf numFmtId="0" fontId="4" fillId="0" borderId="3" xfId="1" applyFont="1" applyBorder="1"/>
    <xf numFmtId="0" fontId="1" fillId="0" borderId="3" xfId="1" applyBorder="1"/>
    <xf numFmtId="0" fontId="0" fillId="4" borderId="0" xfId="0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8" fillId="0" borderId="0" xfId="0" applyFont="1"/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5" borderId="0" xfId="4" applyAlignment="1">
      <alignment horizontal="left"/>
    </xf>
    <xf numFmtId="0" fontId="0" fillId="4" borderId="0" xfId="0" applyFill="1" applyAlignment="1">
      <alignment horizontal="left"/>
    </xf>
    <xf numFmtId="0" fontId="5" fillId="4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center" vertical="center"/>
    </xf>
    <xf numFmtId="0" fontId="11" fillId="0" borderId="0" xfId="0" applyFont="1"/>
    <xf numFmtId="14" fontId="12" fillId="0" borderId="0" xfId="0" applyNumberFormat="1" applyFont="1" applyAlignment="1">
      <alignment horizontal="center" vertical="center"/>
    </xf>
    <xf numFmtId="0" fontId="12" fillId="0" borderId="0" xfId="0" applyFont="1"/>
    <xf numFmtId="168" fontId="12" fillId="0" borderId="0" xfId="0" applyNumberFormat="1" applyFont="1" applyAlignment="1">
      <alignment horizontal="center" vertical="center"/>
    </xf>
    <xf numFmtId="0" fontId="0" fillId="0" borderId="3" xfId="0" applyBorder="1"/>
    <xf numFmtId="0" fontId="2" fillId="3" borderId="0" xfId="2" applyAlignment="1">
      <alignment horizontal="center" vertical="center"/>
    </xf>
    <xf numFmtId="168" fontId="9" fillId="3" borderId="0" xfId="2" applyNumberFormat="1" applyFont="1" applyAlignment="1">
      <alignment horizontal="right" vertic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0" fontId="6" fillId="3" borderId="2" xfId="3" applyFill="1" applyBorder="1" applyAlignment="1" applyProtection="1">
      <alignment horizontal="left"/>
      <protection locked="0"/>
    </xf>
    <xf numFmtId="0" fontId="2" fillId="3" borderId="2" xfId="2" applyBorder="1" applyProtection="1">
      <protection locked="0"/>
    </xf>
    <xf numFmtId="0" fontId="0" fillId="0" borderId="0" xfId="0" applyProtection="1"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0" xfId="0" applyFont="1" applyProtection="1">
      <protection locked="0"/>
    </xf>
    <xf numFmtId="168" fontId="12" fillId="0" borderId="0" xfId="0" applyNumberFormat="1" applyFont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left" vertical="center"/>
    </xf>
    <xf numFmtId="168" fontId="3" fillId="0" borderId="2" xfId="0" applyNumberFormat="1" applyFont="1" applyBorder="1" applyAlignment="1">
      <alignment horizontal="left" vertical="center"/>
    </xf>
    <xf numFmtId="168" fontId="3" fillId="0" borderId="2" xfId="0" applyNumberFormat="1" applyFont="1" applyBorder="1" applyAlignment="1">
      <alignment horizontal="center" vertical="center"/>
    </xf>
    <xf numFmtId="16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/>
    </xf>
    <xf numFmtId="168" fontId="13" fillId="7" borderId="2" xfId="0" applyNumberFormat="1" applyFont="1" applyFill="1" applyBorder="1" applyAlignment="1">
      <alignment horizontal="center" vertical="center"/>
    </xf>
    <xf numFmtId="169" fontId="13" fillId="7" borderId="2" xfId="0" applyNumberFormat="1" applyFont="1" applyFill="1" applyBorder="1" applyAlignment="1">
      <alignment horizontal="center" vertical="center"/>
    </xf>
    <xf numFmtId="1" fontId="13" fillId="7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left" vertical="center"/>
    </xf>
  </cellXfs>
  <cellStyles count="5">
    <cellStyle name="40% - Ênfase5" xfId="4" builtinId="47"/>
    <cellStyle name="Hiperlink" xfId="3" builtinId="8"/>
    <cellStyle name="Neutro" xfId="2" builtinId="28"/>
    <cellStyle name="Normal" xfId="0" builtinId="0"/>
    <cellStyle name="Título 1" xfId="1" builtinId="16"/>
  </cellStyles>
  <dxfs count="3">
    <dxf>
      <numFmt numFmtId="168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>
                <a:latin typeface="Segoe UI" panose="020B0502040204020203" pitchFamily="34" charset="0"/>
                <a:cs typeface="Segoe UI" panose="020B0502040204020203" pitchFamily="34" charset="0"/>
              </a:rPr>
              <a:t>Patrimônio por </a:t>
            </a:r>
            <a:r>
              <a:rPr lang="pt-BR" baseline="0">
                <a:latin typeface="Segoe UI" panose="020B0502040204020203" pitchFamily="34" charset="0"/>
                <a:cs typeface="Segoe UI" panose="020B0502040204020203" pitchFamily="34" charset="0"/>
              </a:rPr>
              <a:t>banco</a:t>
            </a:r>
          </a:p>
        </c:rich>
      </c:tx>
      <c:layout>
        <c:manualLayout>
          <c:xMode val="edge"/>
          <c:yMode val="edge"/>
          <c:x val="3.3666605627784882E-2"/>
          <c:y val="2.5000000000000001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EE37B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480-40A9-822B-569FCB3749B4}"/>
              </c:ext>
            </c:extLst>
          </c:dPt>
          <c:dPt>
            <c:idx val="1"/>
            <c:bubble3D val="0"/>
            <c:spPr>
              <a:solidFill>
                <a:srgbClr val="6124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480-40A9-822B-569FCB3749B4}"/>
              </c:ext>
            </c:extLst>
          </c:dPt>
          <c:dPt>
            <c:idx val="2"/>
            <c:bubble3D val="0"/>
            <c:spPr>
              <a:solidFill>
                <a:srgbClr val="B98CF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480-40A9-822B-569FCB3749B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RESUMO!$C$12:$C$14</c:f>
              <c:strCache>
                <c:ptCount val="3"/>
                <c:pt idx="0">
                  <c:v>237 - Banco Bradesco</c:v>
                </c:pt>
                <c:pt idx="1">
                  <c:v>102 - XP Investimentos CCTVM S.A.</c:v>
                </c:pt>
                <c:pt idx="2">
                  <c:v>341 - Itaú Unibanco</c:v>
                </c:pt>
              </c:strCache>
            </c:strRef>
          </c:cat>
          <c:val>
            <c:numRef>
              <c:f>RESUMO!$D$12:$D$14</c:f>
              <c:numCache>
                <c:formatCode>"R$"\ #,##0.00</c:formatCode>
                <c:ptCount val="3"/>
                <c:pt idx="0">
                  <c:v>300000</c:v>
                </c:pt>
                <c:pt idx="1">
                  <c:v>100000</c:v>
                </c:pt>
                <c:pt idx="2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80-40A9-822B-569FCB374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layout>
        <c:manualLayout>
          <c:xMode val="edge"/>
          <c:yMode val="edge"/>
          <c:x val="1.9573216138680339E-2"/>
          <c:y val="0.83854691601049869"/>
          <c:w val="0.96978575352499541"/>
          <c:h val="0.16145308398950131"/>
        </c:manualLayout>
      </c:layout>
      <c:overlay val="1"/>
      <c:txPr>
        <a:bodyPr/>
        <a:lstStyle/>
        <a:p>
          <a:pPr>
            <a:defRPr sz="800" baseline="0">
              <a:latin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Entradas por categoria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EE37BF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RESUMO!$C$19:$C$21</c:f>
              <c:strCache>
                <c:ptCount val="3"/>
                <c:pt idx="0">
                  <c:v>Holherite</c:v>
                </c:pt>
                <c:pt idx="1">
                  <c:v>CNPJ</c:v>
                </c:pt>
                <c:pt idx="2">
                  <c:v>Freelance</c:v>
                </c:pt>
              </c:strCache>
            </c:strRef>
          </c:cat>
          <c:val>
            <c:numRef>
              <c:f>RESUMO!$E$19:$E$21</c:f>
              <c:numCache>
                <c:formatCode>"R$"\ #,##0.00</c:formatCode>
                <c:ptCount val="3"/>
                <c:pt idx="0">
                  <c:v>3000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E0-4717-9A8A-F6393B57A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&quot;R$&quot;\ 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hyperlink" Target="#RESUMO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ester-corr&#234;a-32b349233" TargetMode="External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hyperlink" Target="#RESUMO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ester-corr&#234;a-32b349233" TargetMode="External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hyperlink" Target="#RESUMO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ester-corr&#234;a-32b349233" TargetMode="External"/><Relationship Id="rId4" Type="http://schemas.openxmlformats.org/officeDocument/2006/relationships/hyperlink" Target="#INFORMES!C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hyperlink" Target="#NOTAS!C1"/><Relationship Id="rId7" Type="http://schemas.openxmlformats.org/officeDocument/2006/relationships/hyperlink" Target="#RESUMO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ester-corr&#234;a-32b349233" TargetMode="External"/><Relationship Id="rId4" Type="http://schemas.openxmlformats.org/officeDocument/2006/relationships/hyperlink" Target="#INFORMES!C1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595312</xdr:colOff>
      <xdr:row>2</xdr:row>
      <xdr:rowOff>95250</xdr:rowOff>
    </xdr:from>
    <xdr:to>
      <xdr:col>0</xdr:col>
      <xdr:colOff>1395412</xdr:colOff>
      <xdr:row>6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2" y="476250"/>
          <a:ext cx="800100" cy="800100"/>
        </a:xfrm>
        <a:prstGeom prst="rect">
          <a:avLst/>
        </a:prstGeom>
      </xdr:spPr>
    </xdr:pic>
    <xdr:clientData/>
  </xdr:twoCellAnchor>
  <xdr:twoCellAnchor editAs="absolute">
    <xdr:from>
      <xdr:col>0</xdr:col>
      <xdr:colOff>14288</xdr:colOff>
      <xdr:row>0</xdr:row>
      <xdr:rowOff>180974</xdr:rowOff>
    </xdr:from>
    <xdr:to>
      <xdr:col>0</xdr:col>
      <xdr:colOff>1890712</xdr:colOff>
      <xdr:row>1</xdr:row>
      <xdr:rowOff>180975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4288" y="180974"/>
          <a:ext cx="1876424" cy="1905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47000">
                    <a:schemeClr val="accent5">
                      <a:lumMod val="75000"/>
                    </a:schemeClr>
                  </a:gs>
                  <a:gs pos="0">
                    <a:srgbClr val="EE37BF">
                      <a:lumMod val="87000"/>
                      <a:lumOff val="13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90488</xdr:colOff>
      <xdr:row>6</xdr:row>
      <xdr:rowOff>123825</xdr:rowOff>
    </xdr:from>
    <xdr:to>
      <xdr:col>0</xdr:col>
      <xdr:colOff>1814513</xdr:colOff>
      <xdr:row>7</xdr:row>
      <xdr:rowOff>190500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0488" y="1381125"/>
          <a:ext cx="1724025" cy="276225"/>
        </a:xfrm>
        <a:prstGeom prst="roundRect">
          <a:avLst>
            <a:gd name="adj" fmla="val 50000"/>
          </a:avLst>
        </a:prstGeom>
        <a:gradFill flip="none" rotWithShape="1">
          <a:gsLst>
            <a:gs pos="92000">
              <a:srgbClr val="6124E8">
                <a:alpha val="80000"/>
                <a:lumMod val="80000"/>
                <a:lumOff val="20000"/>
              </a:srgbClr>
            </a:gs>
            <a:gs pos="0">
              <a:srgbClr val="EE37B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90488</xdr:colOff>
      <xdr:row>9</xdr:row>
      <xdr:rowOff>171450</xdr:rowOff>
    </xdr:from>
    <xdr:to>
      <xdr:col>0</xdr:col>
      <xdr:colOff>1814513</xdr:colOff>
      <xdr:row>11</xdr:row>
      <xdr:rowOff>28575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0488" y="2057400"/>
          <a:ext cx="1724025" cy="2762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90488</xdr:colOff>
      <xdr:row>8</xdr:row>
      <xdr:rowOff>42862</xdr:rowOff>
    </xdr:from>
    <xdr:to>
      <xdr:col>0</xdr:col>
      <xdr:colOff>1814513</xdr:colOff>
      <xdr:row>9</xdr:row>
      <xdr:rowOff>109537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0488" y="1719262"/>
          <a:ext cx="1724025" cy="2762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33338</xdr:colOff>
      <xdr:row>15</xdr:row>
      <xdr:rowOff>33338</xdr:rowOff>
    </xdr:from>
    <xdr:to>
      <xdr:col>0</xdr:col>
      <xdr:colOff>1871663</xdr:colOff>
      <xdr:row>16</xdr:row>
      <xdr:rowOff>61913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3338" y="3176588"/>
          <a:ext cx="1838325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DIO </a:t>
          </a:r>
          <a:r>
            <a:rPr lang="pt-BR"/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123825</xdr:colOff>
      <xdr:row>14</xdr:row>
      <xdr:rowOff>128588</xdr:rowOff>
    </xdr:from>
    <xdr:to>
      <xdr:col>0</xdr:col>
      <xdr:colOff>1866900</xdr:colOff>
      <xdr:row>14</xdr:row>
      <xdr:rowOff>128588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3825" y="3062288"/>
          <a:ext cx="1743075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781050</xdr:colOff>
      <xdr:row>16</xdr:row>
      <xdr:rowOff>160338</xdr:rowOff>
    </xdr:from>
    <xdr:to>
      <xdr:col>0</xdr:col>
      <xdr:colOff>1123951</xdr:colOff>
      <xdr:row>18</xdr:row>
      <xdr:rowOff>84139</xdr:rowOff>
    </xdr:to>
    <xdr:pic>
      <xdr:nvPicPr>
        <xdr:cNvPr id="11" name="Icon_link" descr="Free Linkedin Icon, Symbol. Download in SVG &amp; PNG Formats.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3513138"/>
          <a:ext cx="342901" cy="34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19050</xdr:colOff>
      <xdr:row>21</xdr:row>
      <xdr:rowOff>47625</xdr:rowOff>
    </xdr:from>
    <xdr:to>
      <xdr:col>4</xdr:col>
      <xdr:colOff>9525</xdr:colOff>
      <xdr:row>22</xdr:row>
      <xdr:rowOff>142875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457825" y="4429125"/>
          <a:ext cx="3067050" cy="2857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0</xdr:col>
      <xdr:colOff>90488</xdr:colOff>
      <xdr:row>11</xdr:row>
      <xdr:rowOff>90488</xdr:rowOff>
    </xdr:from>
    <xdr:to>
      <xdr:col>0</xdr:col>
      <xdr:colOff>1814513</xdr:colOff>
      <xdr:row>12</xdr:row>
      <xdr:rowOff>157163</xdr:rowOff>
    </xdr:to>
    <xdr:sp macro="" textlink="">
      <xdr:nvSpPr>
        <xdr:cNvPr id="13" name="Menu RESUMO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90488" y="2395538"/>
          <a:ext cx="1724025" cy="2762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Verdana" panose="020B0604030504040204" pitchFamily="34" charset="0"/>
              <a:ea typeface="Verdana" panose="020B0604030504040204" pitchFamily="34" charset="0"/>
            </a:rPr>
            <a:t>RESUMO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538163</xdr:colOff>
      <xdr:row>2</xdr:row>
      <xdr:rowOff>95250</xdr:rowOff>
    </xdr:from>
    <xdr:to>
      <xdr:col>0</xdr:col>
      <xdr:colOff>1338263</xdr:colOff>
      <xdr:row>5</xdr:row>
      <xdr:rowOff>161925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163" y="476250"/>
          <a:ext cx="800100" cy="800100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180974</xdr:rowOff>
    </xdr:from>
    <xdr:to>
      <xdr:col>0</xdr:col>
      <xdr:colOff>1876425</xdr:colOff>
      <xdr:row>1</xdr:row>
      <xdr:rowOff>180975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" y="180974"/>
          <a:ext cx="1876424" cy="1905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47000">
                    <a:schemeClr val="accent5">
                      <a:lumMod val="75000"/>
                    </a:schemeClr>
                  </a:gs>
                  <a:gs pos="0">
                    <a:srgbClr val="EE37BF">
                      <a:lumMod val="87000"/>
                      <a:lumOff val="13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109538</xdr:colOff>
      <xdr:row>6</xdr:row>
      <xdr:rowOff>76200</xdr:rowOff>
    </xdr:from>
    <xdr:to>
      <xdr:col>0</xdr:col>
      <xdr:colOff>1833563</xdr:colOff>
      <xdr:row>7</xdr:row>
      <xdr:rowOff>161925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09538" y="1381125"/>
          <a:ext cx="1724025" cy="2762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109538</xdr:colOff>
      <xdr:row>9</xdr:row>
      <xdr:rowOff>161925</xdr:rowOff>
    </xdr:from>
    <xdr:to>
      <xdr:col>0</xdr:col>
      <xdr:colOff>1833563</xdr:colOff>
      <xdr:row>11</xdr:row>
      <xdr:rowOff>19050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09538" y="2057400"/>
          <a:ext cx="1724025" cy="2762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109538</xdr:colOff>
      <xdr:row>8</xdr:row>
      <xdr:rowOff>33337</xdr:rowOff>
    </xdr:from>
    <xdr:to>
      <xdr:col>0</xdr:col>
      <xdr:colOff>1833563</xdr:colOff>
      <xdr:row>9</xdr:row>
      <xdr:rowOff>100012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09538" y="1719262"/>
          <a:ext cx="1724025" cy="276225"/>
        </a:xfrm>
        <a:prstGeom prst="roundRect">
          <a:avLst>
            <a:gd name="adj" fmla="val 50000"/>
          </a:avLst>
        </a:prstGeom>
        <a:gradFill flip="none" rotWithShape="1">
          <a:gsLst>
            <a:gs pos="92000">
              <a:srgbClr val="6124E8">
                <a:alpha val="80000"/>
                <a:lumMod val="80000"/>
                <a:lumOff val="20000"/>
              </a:srgbClr>
            </a:gs>
            <a:gs pos="0">
              <a:srgbClr val="EE37B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66675</xdr:colOff>
      <xdr:row>15</xdr:row>
      <xdr:rowOff>80963</xdr:rowOff>
    </xdr:from>
    <xdr:to>
      <xdr:col>0</xdr:col>
      <xdr:colOff>1905000</xdr:colOff>
      <xdr:row>16</xdr:row>
      <xdr:rowOff>109538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6675" y="3176588"/>
          <a:ext cx="1838325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DIO </a:t>
          </a:r>
          <a:r>
            <a:rPr lang="pt-BR"/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104775</xdr:colOff>
      <xdr:row>14</xdr:row>
      <xdr:rowOff>128588</xdr:rowOff>
    </xdr:from>
    <xdr:to>
      <xdr:col>0</xdr:col>
      <xdr:colOff>1847850</xdr:colOff>
      <xdr:row>14</xdr:row>
      <xdr:rowOff>128588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104775" y="3014663"/>
          <a:ext cx="1743075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766763</xdr:colOff>
      <xdr:row>16</xdr:row>
      <xdr:rowOff>207963</xdr:rowOff>
    </xdr:from>
    <xdr:to>
      <xdr:col>0</xdr:col>
      <xdr:colOff>1109664</xdr:colOff>
      <xdr:row>18</xdr:row>
      <xdr:rowOff>150814</xdr:rowOff>
    </xdr:to>
    <xdr:pic>
      <xdr:nvPicPr>
        <xdr:cNvPr id="10" name="Icon_link" descr="Free Linkedin Icon, Symbol. Download in SVG &amp; PNG Formats.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3" y="3513138"/>
          <a:ext cx="342901" cy="34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24</xdr:row>
      <xdr:rowOff>0</xdr:rowOff>
    </xdr:from>
    <xdr:to>
      <xdr:col>3</xdr:col>
      <xdr:colOff>3067050</xdr:colOff>
      <xdr:row>25</xdr:row>
      <xdr:rowOff>95250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438775" y="4905375"/>
          <a:ext cx="3067050" cy="2857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0</xdr:colOff>
      <xdr:row>24</xdr:row>
      <xdr:rowOff>0</xdr:rowOff>
    </xdr:from>
    <xdr:to>
      <xdr:col>2</xdr:col>
      <xdr:colOff>2847975</xdr:colOff>
      <xdr:row>25</xdr:row>
      <xdr:rowOff>95250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2562225" y="4905375"/>
          <a:ext cx="2847975" cy="2857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 editAs="absolute">
    <xdr:from>
      <xdr:col>0</xdr:col>
      <xdr:colOff>109538</xdr:colOff>
      <xdr:row>11</xdr:row>
      <xdr:rowOff>80963</xdr:rowOff>
    </xdr:from>
    <xdr:to>
      <xdr:col>0</xdr:col>
      <xdr:colOff>1833563</xdr:colOff>
      <xdr:row>12</xdr:row>
      <xdr:rowOff>166688</xdr:rowOff>
    </xdr:to>
    <xdr:sp macro="" textlink="">
      <xdr:nvSpPr>
        <xdr:cNvPr id="12" name="Menu RESUM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09538" y="2395538"/>
          <a:ext cx="1724025" cy="2762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Verdana" panose="020B0604030504040204" pitchFamily="34" charset="0"/>
              <a:ea typeface="Verdana" panose="020B0604030504040204" pitchFamily="34" charset="0"/>
            </a:rPr>
            <a:t>RESUMO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538163</xdr:colOff>
      <xdr:row>2</xdr:row>
      <xdr:rowOff>95250</xdr:rowOff>
    </xdr:from>
    <xdr:to>
      <xdr:col>0</xdr:col>
      <xdr:colOff>1338263</xdr:colOff>
      <xdr:row>6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163" y="476250"/>
          <a:ext cx="800100" cy="800100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180974</xdr:rowOff>
    </xdr:from>
    <xdr:to>
      <xdr:col>0</xdr:col>
      <xdr:colOff>1876425</xdr:colOff>
      <xdr:row>1</xdr:row>
      <xdr:rowOff>180975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" y="180974"/>
          <a:ext cx="1876424" cy="1905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47000">
                    <a:schemeClr val="accent5">
                      <a:lumMod val="75000"/>
                    </a:schemeClr>
                  </a:gs>
                  <a:gs pos="0">
                    <a:srgbClr val="EE37BF">
                      <a:lumMod val="87000"/>
                      <a:lumOff val="13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109538</xdr:colOff>
      <xdr:row>6</xdr:row>
      <xdr:rowOff>104775</xdr:rowOff>
    </xdr:from>
    <xdr:to>
      <xdr:col>0</xdr:col>
      <xdr:colOff>1833563</xdr:colOff>
      <xdr:row>7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9538" y="1381125"/>
          <a:ext cx="1724025" cy="2762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109538</xdr:colOff>
      <xdr:row>9</xdr:row>
      <xdr:rowOff>171450</xdr:rowOff>
    </xdr:from>
    <xdr:to>
      <xdr:col>0</xdr:col>
      <xdr:colOff>1833563</xdr:colOff>
      <xdr:row>11</xdr:row>
      <xdr:rowOff>28575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09538" y="2057400"/>
          <a:ext cx="1724025" cy="276225"/>
        </a:xfrm>
        <a:prstGeom prst="roundRect">
          <a:avLst>
            <a:gd name="adj" fmla="val 50000"/>
          </a:avLst>
        </a:prstGeom>
        <a:gradFill flip="none" rotWithShape="1">
          <a:gsLst>
            <a:gs pos="92000">
              <a:srgbClr val="6124E8">
                <a:alpha val="80000"/>
                <a:lumMod val="80000"/>
                <a:lumOff val="20000"/>
              </a:srgbClr>
            </a:gs>
            <a:gs pos="0">
              <a:srgbClr val="EE37B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109538</xdr:colOff>
      <xdr:row>8</xdr:row>
      <xdr:rowOff>42862</xdr:rowOff>
    </xdr:from>
    <xdr:to>
      <xdr:col>0</xdr:col>
      <xdr:colOff>1833563</xdr:colOff>
      <xdr:row>9</xdr:row>
      <xdr:rowOff>109537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09538" y="1719262"/>
          <a:ext cx="1724025" cy="2762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66675</xdr:colOff>
      <xdr:row>15</xdr:row>
      <xdr:rowOff>33338</xdr:rowOff>
    </xdr:from>
    <xdr:to>
      <xdr:col>0</xdr:col>
      <xdr:colOff>1905000</xdr:colOff>
      <xdr:row>16</xdr:row>
      <xdr:rowOff>61913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6675" y="3176588"/>
          <a:ext cx="1838325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DIO </a:t>
          </a:r>
          <a:r>
            <a:rPr lang="pt-BR"/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104775</xdr:colOff>
      <xdr:row>14</xdr:row>
      <xdr:rowOff>80963</xdr:rowOff>
    </xdr:from>
    <xdr:to>
      <xdr:col>0</xdr:col>
      <xdr:colOff>1847850</xdr:colOff>
      <xdr:row>14</xdr:row>
      <xdr:rowOff>80963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104775" y="3014663"/>
          <a:ext cx="1743075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304800</xdr:colOff>
      <xdr:row>11</xdr:row>
      <xdr:rowOff>95250</xdr:rowOff>
    </xdr:to>
    <xdr:sp macro="" textlink="">
      <xdr:nvSpPr>
        <xdr:cNvPr id="3074" name="AutoShape 2" descr="LinkedIn logo white icon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500062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304800</xdr:colOff>
      <xdr:row>10</xdr:row>
      <xdr:rowOff>95250</xdr:rowOff>
    </xdr:to>
    <xdr:sp macro="" textlink="">
      <xdr:nvSpPr>
        <xdr:cNvPr id="3075" name="AutoShape 3" descr="LinkedIn logo white icon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>
          <a:spLocks noChangeAspect="1" noChangeArrowheads="1"/>
        </xdr:cNvSpPr>
      </xdr:nvSpPr>
      <xdr:spPr bwMode="auto">
        <a:xfrm>
          <a:off x="561022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304800</xdr:colOff>
      <xdr:row>13</xdr:row>
      <xdr:rowOff>95250</xdr:rowOff>
    </xdr:to>
    <xdr:sp macro="" textlink="">
      <xdr:nvSpPr>
        <xdr:cNvPr id="3076" name="AutoShape 4" descr="LinkedIn logo white icon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>
          <a:spLocks noChangeAspect="1" noChangeArrowheads="1"/>
        </xdr:cNvSpPr>
      </xdr:nvSpPr>
      <xdr:spPr bwMode="auto">
        <a:xfrm>
          <a:off x="4391025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304800</xdr:colOff>
      <xdr:row>13</xdr:row>
      <xdr:rowOff>95250</xdr:rowOff>
    </xdr:to>
    <xdr:sp macro="" textlink="">
      <xdr:nvSpPr>
        <xdr:cNvPr id="3078" name="AutoShape 6" descr="Linkedin White Icon Vector, Black And White, Linkedin Logo ...">
          <a:extLs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4391025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17</xdr:row>
      <xdr:rowOff>95250</xdr:rowOff>
    </xdr:to>
    <xdr:sp macro="" textlink="">
      <xdr:nvSpPr>
        <xdr:cNvPr id="3079" name="AutoShape 7" descr="Linkedin White Icon Vector, Black And White, Linkedin Logo ...">
          <a:extLs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3781425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766763</xdr:colOff>
      <xdr:row>16</xdr:row>
      <xdr:rowOff>160338</xdr:rowOff>
    </xdr:from>
    <xdr:to>
      <xdr:col>0</xdr:col>
      <xdr:colOff>1109664</xdr:colOff>
      <xdr:row>18</xdr:row>
      <xdr:rowOff>84139</xdr:rowOff>
    </xdr:to>
    <xdr:pic>
      <xdr:nvPicPr>
        <xdr:cNvPr id="10" name="Icon_link" descr="Free Linkedin Icon, Symbol. Download in SVG &amp; PNG Formats.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3" y="3513138"/>
          <a:ext cx="342901" cy="34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</xdr:colOff>
      <xdr:row>4</xdr:row>
      <xdr:rowOff>161925</xdr:rowOff>
    </xdr:from>
    <xdr:to>
      <xdr:col>2</xdr:col>
      <xdr:colOff>914401</xdr:colOff>
      <xdr:row>5</xdr:row>
      <xdr:rowOff>171450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562226" y="1057275"/>
          <a:ext cx="914400" cy="200025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 editAs="absolute">
    <xdr:from>
      <xdr:col>0</xdr:col>
      <xdr:colOff>109538</xdr:colOff>
      <xdr:row>11</xdr:row>
      <xdr:rowOff>90488</xdr:rowOff>
    </xdr:from>
    <xdr:to>
      <xdr:col>0</xdr:col>
      <xdr:colOff>1833563</xdr:colOff>
      <xdr:row>12</xdr:row>
      <xdr:rowOff>157163</xdr:rowOff>
    </xdr:to>
    <xdr:sp macro="" textlink="">
      <xdr:nvSpPr>
        <xdr:cNvPr id="3080" name="Menu RESUMO 308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SpPr/>
      </xdr:nvSpPr>
      <xdr:spPr>
        <a:xfrm>
          <a:off x="109538" y="2395538"/>
          <a:ext cx="1724025" cy="2762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Verdana" panose="020B0604030504040204" pitchFamily="34" charset="0"/>
              <a:ea typeface="Verdana" panose="020B0604030504040204" pitchFamily="34" charset="0"/>
            </a:rPr>
            <a:t>RESUMO</a:t>
          </a:r>
        </a:p>
      </xdr:txBody>
    </xdr:sp>
    <xdr:clientData/>
  </xdr:twoCellAnchor>
  <xdr:twoCellAnchor editAs="absolute">
    <xdr:from>
      <xdr:col>3</xdr:col>
      <xdr:colOff>0</xdr:colOff>
      <xdr:row>27</xdr:row>
      <xdr:rowOff>0</xdr:rowOff>
    </xdr:from>
    <xdr:to>
      <xdr:col>4</xdr:col>
      <xdr:colOff>1466850</xdr:colOff>
      <xdr:row>28</xdr:row>
      <xdr:rowOff>95250</xdr:rowOff>
    </xdr:to>
    <xdr:sp macro="" textlink="">
      <xdr:nvSpPr>
        <xdr:cNvPr id="3081" name="Botão PRÓXIM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>
        <a:xfrm>
          <a:off x="5438775" y="4905375"/>
          <a:ext cx="3067050" cy="2857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538163</xdr:colOff>
      <xdr:row>2</xdr:row>
      <xdr:rowOff>95250</xdr:rowOff>
    </xdr:from>
    <xdr:to>
      <xdr:col>0</xdr:col>
      <xdr:colOff>1338263</xdr:colOff>
      <xdr:row>5</xdr:row>
      <xdr:rowOff>190500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163" y="476250"/>
          <a:ext cx="800100" cy="800100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180974</xdr:rowOff>
    </xdr:from>
    <xdr:to>
      <xdr:col>0</xdr:col>
      <xdr:colOff>1876425</xdr:colOff>
      <xdr:row>1</xdr:row>
      <xdr:rowOff>180975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" y="180974"/>
          <a:ext cx="1876424" cy="1905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47000">
                    <a:schemeClr val="accent5">
                      <a:lumMod val="75000"/>
                    </a:schemeClr>
                  </a:gs>
                  <a:gs pos="0">
                    <a:srgbClr val="EE37BF">
                      <a:lumMod val="87000"/>
                      <a:lumOff val="13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109538</xdr:colOff>
      <xdr:row>6</xdr:row>
      <xdr:rowOff>85725</xdr:rowOff>
    </xdr:from>
    <xdr:to>
      <xdr:col>0</xdr:col>
      <xdr:colOff>1833563</xdr:colOff>
      <xdr:row>7</xdr:row>
      <xdr:rowOff>152400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09538" y="1381125"/>
          <a:ext cx="1724025" cy="2762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109538</xdr:colOff>
      <xdr:row>9</xdr:row>
      <xdr:rowOff>133350</xdr:rowOff>
    </xdr:from>
    <xdr:to>
      <xdr:col>0</xdr:col>
      <xdr:colOff>1833563</xdr:colOff>
      <xdr:row>10</xdr:row>
      <xdr:rowOff>200025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09538" y="2057400"/>
          <a:ext cx="1724025" cy="2762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109538</xdr:colOff>
      <xdr:row>8</xdr:row>
      <xdr:rowOff>4762</xdr:rowOff>
    </xdr:from>
    <xdr:to>
      <xdr:col>0</xdr:col>
      <xdr:colOff>1833563</xdr:colOff>
      <xdr:row>9</xdr:row>
      <xdr:rowOff>71437</xdr:rowOff>
    </xdr:to>
    <xdr:sp macro="" textlink="">
      <xdr:nvSpPr>
        <xdr:cNvPr id="5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09538" y="1719262"/>
          <a:ext cx="1724025" cy="2762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66675</xdr:colOff>
      <xdr:row>14</xdr:row>
      <xdr:rowOff>204788</xdr:rowOff>
    </xdr:from>
    <xdr:to>
      <xdr:col>0</xdr:col>
      <xdr:colOff>1905000</xdr:colOff>
      <xdr:row>16</xdr:row>
      <xdr:rowOff>23813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6675" y="3176588"/>
          <a:ext cx="1838325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DIO </a:t>
          </a:r>
          <a:r>
            <a:rPr lang="pt-BR"/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104775</xdr:colOff>
      <xdr:row>14</xdr:row>
      <xdr:rowOff>42863</xdr:rowOff>
    </xdr:from>
    <xdr:to>
      <xdr:col>0</xdr:col>
      <xdr:colOff>1847850</xdr:colOff>
      <xdr:row>14</xdr:row>
      <xdr:rowOff>42863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104775" y="3014663"/>
          <a:ext cx="1743075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766763</xdr:colOff>
      <xdr:row>16</xdr:row>
      <xdr:rowOff>122238</xdr:rowOff>
    </xdr:from>
    <xdr:to>
      <xdr:col>0</xdr:col>
      <xdr:colOff>1109664</xdr:colOff>
      <xdr:row>18</xdr:row>
      <xdr:rowOff>46039</xdr:rowOff>
    </xdr:to>
    <xdr:pic>
      <xdr:nvPicPr>
        <xdr:cNvPr id="10" name="Icon_link" descr="Free Linkedin Icon, Symbol. Download in SVG &amp; PNG Formats.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3" y="3513138"/>
          <a:ext cx="342901" cy="34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109538</xdr:colOff>
      <xdr:row>11</xdr:row>
      <xdr:rowOff>52388</xdr:rowOff>
    </xdr:from>
    <xdr:to>
      <xdr:col>0</xdr:col>
      <xdr:colOff>1833563</xdr:colOff>
      <xdr:row>12</xdr:row>
      <xdr:rowOff>119063</xdr:rowOff>
    </xdr:to>
    <xdr:sp macro="" textlink="">
      <xdr:nvSpPr>
        <xdr:cNvPr id="3080" name="Menu RESUMO 308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080C0000}"/>
            </a:ext>
          </a:extLst>
        </xdr:cNvPr>
        <xdr:cNvSpPr/>
      </xdr:nvSpPr>
      <xdr:spPr>
        <a:xfrm>
          <a:off x="109538" y="2395538"/>
          <a:ext cx="1724025" cy="276225"/>
        </a:xfrm>
        <a:prstGeom prst="roundRect">
          <a:avLst>
            <a:gd name="adj" fmla="val 50000"/>
          </a:avLst>
        </a:prstGeom>
        <a:gradFill flip="none" rotWithShape="1">
          <a:gsLst>
            <a:gs pos="92000">
              <a:srgbClr val="6124E8">
                <a:alpha val="80000"/>
                <a:lumMod val="80000"/>
                <a:lumOff val="20000"/>
              </a:srgbClr>
            </a:gs>
            <a:gs pos="0">
              <a:srgbClr val="EE37B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Verdana" panose="020B0604030504040204" pitchFamily="34" charset="0"/>
              <a:ea typeface="Verdana" panose="020B0604030504040204" pitchFamily="34" charset="0"/>
            </a:rPr>
            <a:t>RESUMO</a:t>
          </a:r>
        </a:p>
      </xdr:txBody>
    </xdr:sp>
    <xdr:clientData/>
  </xdr:twoCellAnchor>
  <xdr:twoCellAnchor editAs="absolute">
    <xdr:from>
      <xdr:col>2</xdr:col>
      <xdr:colOff>0</xdr:colOff>
      <xdr:row>48</xdr:row>
      <xdr:rowOff>0</xdr:rowOff>
    </xdr:from>
    <xdr:to>
      <xdr:col>2</xdr:col>
      <xdr:colOff>2400000</xdr:colOff>
      <xdr:row>49</xdr:row>
      <xdr:rowOff>95250</xdr:rowOff>
    </xdr:to>
    <xdr:sp macro="" textlink="">
      <xdr:nvSpPr>
        <xdr:cNvPr id="3081" name="Botão ANTERIO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90C0000}"/>
            </a:ext>
          </a:extLst>
        </xdr:cNvPr>
        <xdr:cNvSpPr/>
      </xdr:nvSpPr>
      <xdr:spPr>
        <a:xfrm>
          <a:off x="2562225" y="4905375"/>
          <a:ext cx="2847975" cy="2857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4</xdr:col>
      <xdr:colOff>228600</xdr:colOff>
      <xdr:row>47</xdr:row>
      <xdr:rowOff>0</xdr:rowOff>
    </xdr:to>
    <xdr:graphicFrame macro="">
      <xdr:nvGraphicFramePr>
        <xdr:cNvPr id="3082" name="Gráfico Patrimônio">
          <a:extLst>
            <a:ext uri="{FF2B5EF4-FFF2-40B4-BE49-F238E27FC236}">
              <a16:creationId xmlns:a16="http://schemas.microsoft.com/office/drawing/2014/main" id="{00000000-0008-0000-0300-00000A0C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</xdr:col>
      <xdr:colOff>285749</xdr:colOff>
      <xdr:row>30</xdr:row>
      <xdr:rowOff>142875</xdr:rowOff>
    </xdr:from>
    <xdr:to>
      <xdr:col>7</xdr:col>
      <xdr:colOff>542924</xdr:colOff>
      <xdr:row>47</xdr:row>
      <xdr:rowOff>66675</xdr:rowOff>
    </xdr:to>
    <xdr:graphicFrame macro="">
      <xdr:nvGraphicFramePr>
        <xdr:cNvPr id="3083" name="Gráfico Entradas">
          <a:extLst>
            <a:ext uri="{FF2B5EF4-FFF2-40B4-BE49-F238E27FC236}">
              <a16:creationId xmlns:a16="http://schemas.microsoft.com/office/drawing/2014/main" id="{00000000-0008-0000-0300-00000B0C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4A1B37-3982-4C58-9295-1C97BA45E8D7}" name="Tabela2" displayName="Tabela2" ref="C8:E26" totalsRowShown="0" headerRowDxfId="2">
  <autoFilter ref="C8:E26" xr:uid="{604A1B37-3982-4C58-9295-1C97BA45E8D7}"/>
  <tableColumns count="3">
    <tableColumn id="1" xr3:uid="{A71D4D9D-EDE5-4CA4-B508-7C9B9F5281A9}" name="DATA" dataDxfId="1"/>
    <tableColumn id="2" xr3:uid="{21212FAC-61F3-4319-B8BD-9AFBA61BBB40}" name="CATEGORIA"/>
    <tableColumn id="3" xr3:uid="{DC3FFD35-0CED-4F0B-9B79-C57A7758A487}" name="VALOR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ylima@di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86AE-EE10-4300-B634-5CC44E46FE06}">
  <sheetPr codeName="Planilha1"/>
  <dimension ref="A3:E20"/>
  <sheetViews>
    <sheetView showGridLines="0" showRowColHeaders="0" workbookViewId="0">
      <selection activeCell="D14" sqref="D14"/>
    </sheetView>
  </sheetViews>
  <sheetFormatPr defaultRowHeight="15" x14ac:dyDescent="0.25"/>
  <cols>
    <col min="1" max="1" width="29.28515625" style="1" customWidth="1"/>
    <col min="3" max="3" width="43.140625" customWidth="1"/>
    <col min="4" max="4" width="46.140625" customWidth="1"/>
  </cols>
  <sheetData>
    <row r="3" spans="3:5" ht="20.25" thickBot="1" x14ac:dyDescent="0.35">
      <c r="C3" s="3" t="s">
        <v>14</v>
      </c>
      <c r="D3" s="4"/>
      <c r="E3" s="4"/>
    </row>
    <row r="4" spans="3:5" ht="18.75" customHeight="1" x14ac:dyDescent="0.25">
      <c r="C4" s="6" t="s">
        <v>15</v>
      </c>
      <c r="D4" s="5"/>
      <c r="E4" s="5"/>
    </row>
    <row r="7" spans="3:5" ht="16.5" x14ac:dyDescent="0.3">
      <c r="C7" s="2" t="s">
        <v>0</v>
      </c>
      <c r="D7" s="21" t="s">
        <v>20</v>
      </c>
    </row>
    <row r="8" spans="3:5" ht="16.5" x14ac:dyDescent="0.3">
      <c r="C8" s="2" t="s">
        <v>1</v>
      </c>
      <c r="D8" s="22">
        <v>90080135704</v>
      </c>
    </row>
    <row r="9" spans="3:5" ht="16.5" x14ac:dyDescent="0.3">
      <c r="C9" s="2" t="s">
        <v>2</v>
      </c>
      <c r="D9" s="23">
        <v>35205</v>
      </c>
    </row>
    <row r="10" spans="3:5" ht="16.5" x14ac:dyDescent="0.3">
      <c r="C10" s="2" t="s">
        <v>3</v>
      </c>
      <c r="D10" s="21">
        <v>31713388</v>
      </c>
    </row>
    <row r="11" spans="3:5" ht="16.5" x14ac:dyDescent="0.3">
      <c r="C11" s="2" t="s">
        <v>4</v>
      </c>
      <c r="D11" s="21" t="s">
        <v>21</v>
      </c>
    </row>
    <row r="12" spans="3:5" ht="16.5" x14ac:dyDescent="0.3">
      <c r="C12" s="2" t="s">
        <v>5</v>
      </c>
      <c r="D12" s="21" t="s">
        <v>19</v>
      </c>
    </row>
    <row r="13" spans="3:5" ht="16.5" x14ac:dyDescent="0.3">
      <c r="C13" s="2" t="s">
        <v>6</v>
      </c>
      <c r="D13" s="21" t="s">
        <v>19</v>
      </c>
    </row>
    <row r="14" spans="3:5" ht="16.5" x14ac:dyDescent="0.3">
      <c r="C14" s="2" t="s">
        <v>7</v>
      </c>
      <c r="D14" s="24">
        <v>38730000</v>
      </c>
    </row>
    <row r="15" spans="3:5" ht="16.5" x14ac:dyDescent="0.3">
      <c r="C15" s="2" t="s">
        <v>8</v>
      </c>
      <c r="D15" s="25">
        <v>1191772371</v>
      </c>
    </row>
    <row r="16" spans="3:5" ht="16.5" x14ac:dyDescent="0.3">
      <c r="C16" s="2" t="s">
        <v>9</v>
      </c>
      <c r="D16" s="26">
        <v>11991772371</v>
      </c>
    </row>
    <row r="17" spans="3:4" ht="16.5" x14ac:dyDescent="0.3">
      <c r="C17" s="2" t="s">
        <v>10</v>
      </c>
      <c r="D17" s="27" t="s">
        <v>18</v>
      </c>
    </row>
    <row r="18" spans="3:4" ht="16.5" x14ac:dyDescent="0.3">
      <c r="C18" s="2" t="s">
        <v>11</v>
      </c>
      <c r="D18" s="28" t="s">
        <v>16</v>
      </c>
    </row>
    <row r="19" spans="3:4" ht="16.5" x14ac:dyDescent="0.3">
      <c r="C19" s="2" t="s">
        <v>12</v>
      </c>
      <c r="D19" s="28" t="s">
        <v>17</v>
      </c>
    </row>
    <row r="20" spans="3:4" ht="16.5" x14ac:dyDescent="0.3">
      <c r="C20" s="2" t="s">
        <v>13</v>
      </c>
      <c r="D20" s="28" t="s">
        <v>17</v>
      </c>
    </row>
  </sheetData>
  <sheetProtection sheet="1" objects="1" scenarios="1" selectLockedCells="1"/>
  <dataValidations count="1">
    <dataValidation type="list" allowBlank="1" showInputMessage="1" showErrorMessage="1" sqref="D18 D19 D20" xr:uid="{27EA0F6F-D042-48CF-A0C9-01DF352B243B}">
      <formula1>"SIM,NÃO"</formula1>
    </dataValidation>
  </dataValidations>
  <hyperlinks>
    <hyperlink ref="D17" r:id="rId1" xr:uid="{6A0FBB53-CE11-4F39-82E2-5FF4AC8D6CFC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8BBD-8A3F-4A91-AB4B-7B2702A6B5FC}">
  <sheetPr codeName="Planilha2"/>
  <dimension ref="A3:I23"/>
  <sheetViews>
    <sheetView showGridLines="0" showRowColHeaders="0" workbookViewId="0">
      <selection activeCell="D23" sqref="D23"/>
    </sheetView>
  </sheetViews>
  <sheetFormatPr defaultRowHeight="15" x14ac:dyDescent="0.25"/>
  <cols>
    <col min="1" max="1" width="29.28515625" style="1" customWidth="1"/>
    <col min="3" max="3" width="43.140625" customWidth="1"/>
    <col min="4" max="4" width="46.140625" customWidth="1"/>
  </cols>
  <sheetData>
    <row r="3" spans="3:9" ht="20.25" customHeight="1" thickBot="1" x14ac:dyDescent="0.35">
      <c r="C3" s="3" t="s">
        <v>22</v>
      </c>
      <c r="D3" s="4"/>
      <c r="E3" s="4"/>
    </row>
    <row r="4" spans="3:9" ht="18.75" customHeight="1" x14ac:dyDescent="0.25">
      <c r="C4" s="6" t="s">
        <v>23</v>
      </c>
      <c r="D4" s="5"/>
      <c r="E4" s="5"/>
    </row>
    <row r="5" spans="3:9" ht="18.75" customHeight="1" x14ac:dyDescent="0.25"/>
    <row r="6" spans="3:9" ht="15" customHeight="1" x14ac:dyDescent="0.25">
      <c r="C6" t="s">
        <v>34</v>
      </c>
    </row>
    <row r="7" spans="3:9" ht="15" customHeight="1" x14ac:dyDescent="0.25">
      <c r="C7" s="20">
        <f>SUM(D10,D16,D22)</f>
        <v>420000</v>
      </c>
      <c r="D7" s="19"/>
    </row>
    <row r="8" spans="3:9" ht="15" customHeight="1" x14ac:dyDescent="0.25">
      <c r="C8" s="7" t="s">
        <v>31</v>
      </c>
    </row>
    <row r="9" spans="3:9" ht="16.5" x14ac:dyDescent="0.3">
      <c r="C9" s="2" t="s">
        <v>24</v>
      </c>
      <c r="D9" s="21" t="s">
        <v>28</v>
      </c>
    </row>
    <row r="10" spans="3:9" ht="16.5" x14ac:dyDescent="0.3">
      <c r="C10" s="2" t="s">
        <v>25</v>
      </c>
      <c r="D10" s="30">
        <v>300000</v>
      </c>
    </row>
    <row r="11" spans="3:9" ht="16.5" x14ac:dyDescent="0.3">
      <c r="C11" s="2" t="s">
        <v>26</v>
      </c>
      <c r="D11" s="21" t="s">
        <v>30</v>
      </c>
    </row>
    <row r="13" spans="3:9" x14ac:dyDescent="0.25">
      <c r="I13" s="29"/>
    </row>
    <row r="14" spans="3:9" x14ac:dyDescent="0.25">
      <c r="C14" s="7" t="s">
        <v>32</v>
      </c>
    </row>
    <row r="15" spans="3:9" ht="16.5" x14ac:dyDescent="0.3">
      <c r="C15" s="2" t="s">
        <v>24</v>
      </c>
      <c r="D15" s="21" t="s">
        <v>27</v>
      </c>
    </row>
    <row r="16" spans="3:9" ht="16.5" x14ac:dyDescent="0.3">
      <c r="C16" s="2" t="s">
        <v>25</v>
      </c>
      <c r="D16" s="30">
        <v>100000</v>
      </c>
    </row>
    <row r="17" spans="3:4" ht="16.5" x14ac:dyDescent="0.3">
      <c r="C17" s="2" t="s">
        <v>26</v>
      </c>
      <c r="D17" s="21" t="s">
        <v>30</v>
      </c>
    </row>
    <row r="20" spans="3:4" x14ac:dyDescent="0.25">
      <c r="C20" s="7" t="s">
        <v>33</v>
      </c>
    </row>
    <row r="21" spans="3:4" ht="16.5" x14ac:dyDescent="0.3">
      <c r="C21" s="2" t="s">
        <v>24</v>
      </c>
      <c r="D21" s="21" t="s">
        <v>29</v>
      </c>
    </row>
    <row r="22" spans="3:4" ht="16.5" x14ac:dyDescent="0.3">
      <c r="C22" s="2" t="s">
        <v>25</v>
      </c>
      <c r="D22" s="30">
        <v>20000</v>
      </c>
    </row>
    <row r="23" spans="3:4" ht="16.5" x14ac:dyDescent="0.3">
      <c r="C23" s="2" t="s">
        <v>26</v>
      </c>
      <c r="D23" s="21" t="s">
        <v>30</v>
      </c>
    </row>
  </sheetData>
  <sheetProtection sheet="1" objects="1" scenarios="1" selectLockedCells="1"/>
  <dataValidations count="1">
    <dataValidation type="list" allowBlank="1" showInputMessage="1" showErrorMessage="1" promptTitle="Informe um banco" prompt="Informe um banco vinculado ao seu CPF" sqref="D9 D15 D21" xr:uid="{51DA11E6-F796-4ACD-884E-8B4C1D5BC5F2}">
      <formula1>#REF!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6FE9-4848-4816-AE27-CC0BACFD6261}">
  <sheetPr codeName="Planilha3"/>
  <dimension ref="A3:E26"/>
  <sheetViews>
    <sheetView showGridLines="0" showRowColHeaders="0" zoomScaleNormal="100" workbookViewId="0">
      <selection activeCell="C23" sqref="C23"/>
    </sheetView>
  </sheetViews>
  <sheetFormatPr defaultRowHeight="15" x14ac:dyDescent="0.25"/>
  <cols>
    <col min="1" max="1" width="29.28515625" style="1" customWidth="1"/>
    <col min="2" max="2" width="9.140625" customWidth="1"/>
    <col min="3" max="3" width="23" customWidth="1"/>
    <col min="4" max="4" width="23.28515625" customWidth="1"/>
    <col min="5" max="5" width="22.42578125" customWidth="1"/>
  </cols>
  <sheetData>
    <row r="3" spans="2:5" ht="20.25" customHeight="1" thickBot="1" x14ac:dyDescent="0.35">
      <c r="C3" s="3" t="s">
        <v>36</v>
      </c>
      <c r="D3" s="4"/>
      <c r="E3" s="18"/>
    </row>
    <row r="4" spans="2:5" ht="20.25" customHeight="1" x14ac:dyDescent="0.25">
      <c r="B4" s="9"/>
      <c r="C4" s="12" t="s">
        <v>35</v>
      </c>
      <c r="D4" s="11"/>
      <c r="E4" s="10"/>
    </row>
    <row r="7" spans="2:5" ht="16.5" x14ac:dyDescent="0.25">
      <c r="C7" s="8"/>
      <c r="D7" s="13" t="s">
        <v>40</v>
      </c>
      <c r="E7" s="8"/>
    </row>
    <row r="8" spans="2:5" x14ac:dyDescent="0.25">
      <c r="C8" s="14" t="s">
        <v>37</v>
      </c>
      <c r="D8" s="14" t="s">
        <v>38</v>
      </c>
      <c r="E8" s="14" t="s">
        <v>39</v>
      </c>
    </row>
    <row r="9" spans="2:5" ht="16.5" x14ac:dyDescent="0.3">
      <c r="C9" s="15">
        <v>46307</v>
      </c>
      <c r="D9" s="16" t="s">
        <v>41</v>
      </c>
      <c r="E9" s="17">
        <v>3000</v>
      </c>
    </row>
    <row r="10" spans="2:5" ht="16.5" x14ac:dyDescent="0.3">
      <c r="C10" s="31"/>
      <c r="D10" s="32"/>
      <c r="E10" s="33"/>
    </row>
    <row r="11" spans="2:5" ht="16.5" x14ac:dyDescent="0.3">
      <c r="C11" s="31"/>
      <c r="D11" s="32"/>
      <c r="E11" s="33"/>
    </row>
    <row r="12" spans="2:5" ht="16.5" x14ac:dyDescent="0.3">
      <c r="C12" s="31"/>
      <c r="D12" s="32"/>
      <c r="E12" s="33"/>
    </row>
    <row r="13" spans="2:5" ht="16.5" x14ac:dyDescent="0.3">
      <c r="C13" s="31"/>
      <c r="D13" s="32"/>
      <c r="E13" s="33"/>
    </row>
    <row r="14" spans="2:5" ht="16.5" x14ac:dyDescent="0.3">
      <c r="C14" s="31"/>
      <c r="D14" s="32"/>
      <c r="E14" s="33"/>
    </row>
    <row r="15" spans="2:5" ht="16.5" x14ac:dyDescent="0.3">
      <c r="C15" s="31"/>
      <c r="D15" s="32"/>
      <c r="E15" s="33"/>
    </row>
    <row r="16" spans="2:5" ht="16.5" x14ac:dyDescent="0.3">
      <c r="C16" s="31"/>
      <c r="D16" s="32"/>
      <c r="E16" s="33"/>
    </row>
    <row r="17" spans="3:5" ht="16.5" x14ac:dyDescent="0.3">
      <c r="C17" s="31"/>
      <c r="D17" s="32"/>
      <c r="E17" s="33"/>
    </row>
    <row r="18" spans="3:5" ht="16.5" x14ac:dyDescent="0.3">
      <c r="C18" s="31"/>
      <c r="D18" s="32"/>
      <c r="E18" s="33"/>
    </row>
    <row r="19" spans="3:5" ht="16.5" x14ac:dyDescent="0.3">
      <c r="C19" s="31"/>
      <c r="D19" s="32"/>
      <c r="E19" s="33"/>
    </row>
    <row r="20" spans="3:5" ht="16.5" x14ac:dyDescent="0.3">
      <c r="C20" s="31"/>
      <c r="D20" s="32"/>
      <c r="E20" s="33"/>
    </row>
    <row r="21" spans="3:5" ht="16.5" x14ac:dyDescent="0.3">
      <c r="C21" s="31"/>
      <c r="D21" s="32"/>
      <c r="E21" s="33"/>
    </row>
    <row r="22" spans="3:5" ht="16.5" x14ac:dyDescent="0.3">
      <c r="C22" s="31"/>
      <c r="D22" s="32"/>
      <c r="E22" s="33"/>
    </row>
    <row r="23" spans="3:5" ht="16.5" x14ac:dyDescent="0.3">
      <c r="C23" s="31"/>
      <c r="D23" s="32"/>
      <c r="E23" s="33"/>
    </row>
    <row r="24" spans="3:5" ht="16.5" x14ac:dyDescent="0.3">
      <c r="C24" s="31"/>
      <c r="D24" s="32"/>
      <c r="E24" s="33"/>
    </row>
    <row r="25" spans="3:5" ht="16.5" x14ac:dyDescent="0.3">
      <c r="C25" s="31"/>
      <c r="D25" s="32"/>
      <c r="E25" s="33"/>
    </row>
    <row r="26" spans="3:5" ht="16.5" x14ac:dyDescent="0.3">
      <c r="C26" s="31"/>
      <c r="D26" s="32"/>
      <c r="E26" s="33"/>
    </row>
  </sheetData>
  <sheetProtection sheet="1" objects="1" scenarios="1" selectLockedCells="1"/>
  <dataValidations count="1">
    <dataValidation type="list" allowBlank="1" showInputMessage="1" showErrorMessage="1" sqref="D9:D26" xr:uid="{D3C68481-1F96-4348-83AE-1971CDC35055}">
      <formula1>"Holherite,CNPJ, 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30"/>
  <sheetViews>
    <sheetView showGridLines="0" showRowColHeaders="0" tabSelected="1" workbookViewId="0">
      <selection activeCell="E51" sqref="E51"/>
    </sheetView>
  </sheetViews>
  <sheetFormatPr defaultRowHeight="15" x14ac:dyDescent="0.25"/>
  <cols>
    <col min="1" max="1" width="29.28515625" style="1" customWidth="1"/>
    <col min="2" max="2" width="9.140625" customWidth="1"/>
    <col min="3" max="3" width="36" customWidth="1"/>
    <col min="4" max="4" width="22" customWidth="1"/>
    <col min="5" max="5" width="20" customWidth="1"/>
    <col min="6" max="6" width="16" customWidth="1"/>
  </cols>
  <sheetData>
    <row r="3" spans="2:6" ht="20.25" customHeight="1" thickBot="1" x14ac:dyDescent="0.35">
      <c r="C3" s="3" t="s">
        <v>42</v>
      </c>
      <c r="D3" s="4"/>
      <c r="E3" s="4"/>
      <c r="F3" s="18"/>
    </row>
    <row r="4" spans="2:6" ht="20.25" customHeight="1" x14ac:dyDescent="0.25">
      <c r="B4" s="9"/>
      <c r="C4" s="12" t="s">
        <v>43</v>
      </c>
      <c r="D4" s="11"/>
      <c r="E4" s="11"/>
      <c r="F4" s="10"/>
    </row>
    <row r="6" spans="2:6" ht="16.5" customHeight="1" x14ac:dyDescent="0.25">
      <c r="C6" s="14" t="s">
        <v>44</v>
      </c>
    </row>
    <row r="7" spans="2:6" ht="16.5" customHeight="1" x14ac:dyDescent="0.3">
      <c r="C7" s="2" t="s">
        <v>0</v>
      </c>
      <c r="D7" s="44" t="str">
        <f>TÍTULAR!D7</f>
        <v>MARY LIMA NOGUEIRA</v>
      </c>
      <c r="E7" s="44"/>
      <c r="F7" s="44"/>
    </row>
    <row r="8" spans="2:6" ht="16.5" customHeight="1" x14ac:dyDescent="0.3">
      <c r="C8" s="2" t="s">
        <v>1</v>
      </c>
      <c r="D8" s="45">
        <f>TÍTULAR!D8</f>
        <v>90080135704</v>
      </c>
      <c r="E8" s="45"/>
      <c r="F8" s="45"/>
    </row>
    <row r="9" spans="2:6" ht="16.5" customHeight="1" x14ac:dyDescent="0.25"/>
    <row r="10" spans="2:6" ht="16.5" customHeight="1" x14ac:dyDescent="0.25">
      <c r="C10" s="14" t="s">
        <v>45</v>
      </c>
    </row>
    <row r="11" spans="2:6" ht="16.5" customHeight="1" x14ac:dyDescent="0.25">
      <c r="C11" s="13" t="s">
        <v>24</v>
      </c>
      <c r="D11" s="13" t="s">
        <v>25</v>
      </c>
      <c r="E11" s="13" t="s">
        <v>46</v>
      </c>
    </row>
    <row r="12" spans="2:6" ht="16.5" customHeight="1" x14ac:dyDescent="0.25">
      <c r="C12" s="34" t="str">
        <f>INFORMES!D9</f>
        <v>237 - Banco Bradesco</v>
      </c>
      <c r="D12" s="36">
        <f>INFORMES!D10</f>
        <v>300000</v>
      </c>
      <c r="E12" s="37">
        <f>IF($D$15=0,0,D12/$D$15)</f>
        <v>0.7142857142857143</v>
      </c>
    </row>
    <row r="13" spans="2:6" ht="16.5" customHeight="1" x14ac:dyDescent="0.25">
      <c r="C13" s="34" t="str">
        <f>INFORMES!D15</f>
        <v>102 - XP Investimentos CCTVM S.A.</v>
      </c>
      <c r="D13" s="36">
        <f>INFORMES!D16</f>
        <v>100000</v>
      </c>
      <c r="E13" s="37">
        <f>IF($D$15=0,0,D13/$D$15)</f>
        <v>0.23809523809523808</v>
      </c>
    </row>
    <row r="14" spans="2:6" ht="16.5" customHeight="1" x14ac:dyDescent="0.25">
      <c r="C14" s="34" t="str">
        <f>INFORMES!D21</f>
        <v>341 - Itaú Unibanco</v>
      </c>
      <c r="D14" s="36">
        <f>INFORMES!D22</f>
        <v>20000</v>
      </c>
      <c r="E14" s="37">
        <f>IF($D$15=0,0,D14/$D$15)</f>
        <v>4.7619047619047616E-2</v>
      </c>
    </row>
    <row r="15" spans="2:6" ht="16.5" customHeight="1" x14ac:dyDescent="0.25">
      <c r="C15" s="39" t="s">
        <v>34</v>
      </c>
      <c r="D15" s="40">
        <f>SUM(D12:D14)</f>
        <v>420000</v>
      </c>
      <c r="E15" s="41">
        <f>SUM(E12:E14)</f>
        <v>1</v>
      </c>
    </row>
    <row r="16" spans="2:6" ht="16.5" customHeight="1" x14ac:dyDescent="0.25"/>
    <row r="17" spans="3:6" ht="16.5" customHeight="1" x14ac:dyDescent="0.25">
      <c r="C17" s="14" t="s">
        <v>47</v>
      </c>
    </row>
    <row r="18" spans="3:6" ht="16.5" customHeight="1" x14ac:dyDescent="0.25">
      <c r="C18" s="13" t="s">
        <v>38</v>
      </c>
      <c r="D18" s="13" t="s">
        <v>48</v>
      </c>
      <c r="E18" s="13" t="s">
        <v>49</v>
      </c>
      <c r="F18" s="13" t="s">
        <v>46</v>
      </c>
    </row>
    <row r="19" spans="3:6" ht="16.5" customHeight="1" x14ac:dyDescent="0.25">
      <c r="C19" s="34" t="s">
        <v>41</v>
      </c>
      <c r="D19" s="38">
        <f>SUMPRODUCT(--(TRIM(NOTAS!$D$9:$D$500)=$C19))</f>
        <v>1</v>
      </c>
      <c r="E19" s="36">
        <f>SUMPRODUCT(--(TRIM(NOTAS!$D$9:$D$500)=$C19),NOTAS!$E$9:$E$500)</f>
        <v>3000</v>
      </c>
      <c r="F19" s="37">
        <f>IF($E$22=0,0,E19/$E$22)</f>
        <v>1</v>
      </c>
    </row>
    <row r="20" spans="3:6" ht="16.5" customHeight="1" x14ac:dyDescent="0.25">
      <c r="C20" s="34" t="s">
        <v>50</v>
      </c>
      <c r="D20" s="38">
        <f>SUMPRODUCT(--(TRIM(NOTAS!$D$9:$D$500)=$C20))</f>
        <v>0</v>
      </c>
      <c r="E20" s="36">
        <f>SUMPRODUCT(--(TRIM(NOTAS!$D$9:$D$500)=$C20),NOTAS!$E$9:$E$500)</f>
        <v>0</v>
      </c>
      <c r="F20" s="37">
        <f>IF($E$22=0,0,E20/$E$22)</f>
        <v>0</v>
      </c>
    </row>
    <row r="21" spans="3:6" ht="16.5" customHeight="1" x14ac:dyDescent="0.25">
      <c r="C21" s="34" t="s">
        <v>51</v>
      </c>
      <c r="D21" s="38">
        <f>SUMPRODUCT(--(TRIM(NOTAS!$D$9:$D$500)=$C21))</f>
        <v>0</v>
      </c>
      <c r="E21" s="36">
        <f>SUMPRODUCT(--(TRIM(NOTAS!$D$9:$D$500)=$C21),NOTAS!$E$9:$E$500)</f>
        <v>0</v>
      </c>
      <c r="F21" s="37">
        <f>IF($E$22=0,0,E21/$E$22)</f>
        <v>0</v>
      </c>
    </row>
    <row r="22" spans="3:6" ht="16.5" customHeight="1" x14ac:dyDescent="0.25">
      <c r="C22" s="39" t="s">
        <v>34</v>
      </c>
      <c r="D22" s="42">
        <f>SUM(D19:D21)</f>
        <v>1</v>
      </c>
      <c r="E22" s="40">
        <f>SUM(E19:E21)</f>
        <v>3000</v>
      </c>
      <c r="F22" s="41">
        <f>SUM(F19:F21)</f>
        <v>1</v>
      </c>
    </row>
    <row r="23" spans="3:6" ht="16.5" customHeight="1" x14ac:dyDescent="0.25"/>
    <row r="24" spans="3:6" ht="16.5" customHeight="1" x14ac:dyDescent="0.25">
      <c r="C24" s="14" t="s">
        <v>52</v>
      </c>
    </row>
    <row r="25" spans="3:6" ht="16.5" customHeight="1" x14ac:dyDescent="0.3">
      <c r="C25" s="2" t="s">
        <v>53</v>
      </c>
      <c r="D25" s="35">
        <f>D15</f>
        <v>420000</v>
      </c>
    </row>
    <row r="26" spans="3:6" ht="16.5" customHeight="1" x14ac:dyDescent="0.3">
      <c r="C26" s="2" t="s">
        <v>54</v>
      </c>
      <c r="D26" s="35">
        <f>SUM(NOTAS!$E$9:$E$500)</f>
        <v>3000</v>
      </c>
    </row>
    <row r="27" spans="3:6" ht="16.5" customHeight="1" x14ac:dyDescent="0.3">
      <c r="C27" s="2" t="s">
        <v>55</v>
      </c>
      <c r="D27" s="43">
        <f>COUNT(NOTAS!$E$9:$E$500)</f>
        <v>1</v>
      </c>
    </row>
    <row r="28" spans="3:6" ht="16.5" customHeight="1" x14ac:dyDescent="0.3">
      <c r="C28" s="2" t="s">
        <v>56</v>
      </c>
      <c r="D28" s="35">
        <f>IF(D27=0,0,D26/D27)</f>
        <v>3000</v>
      </c>
    </row>
    <row r="29" spans="3:6" ht="16.5" customHeight="1" x14ac:dyDescent="0.3">
      <c r="C29" s="2" t="s">
        <v>57</v>
      </c>
      <c r="D29" s="35">
        <f>MAX(NOTAS!$E$9:$E$500)</f>
        <v>3000</v>
      </c>
    </row>
    <row r="30" spans="3:6" ht="16.5" customHeight="1" x14ac:dyDescent="0.25">
      <c r="C30" s="7" t="s">
        <v>58</v>
      </c>
    </row>
  </sheetData>
  <sheetProtection sheet="1" objects="1" scenarios="1" selectLockedCells="1"/>
  <mergeCells count="2">
    <mergeCell ref="D7:F7"/>
    <mergeCell ref="D8:F8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Correa Ester</dc:creator>
  <cp:lastModifiedBy>Ester Correa Ester</cp:lastModifiedBy>
  <dcterms:created xsi:type="dcterms:W3CDTF">2026-10-10T23:07:20Z</dcterms:created>
  <dcterms:modified xsi:type="dcterms:W3CDTF">2026-10-13T00:59:51Z</dcterms:modified>
</cp:coreProperties>
</file>